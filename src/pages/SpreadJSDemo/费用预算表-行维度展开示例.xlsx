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XDS\预算产品规划\02-EMP-预算产品功能设计\"/>
    </mc:Choice>
  </mc:AlternateContent>
  <xr:revisionPtr revIDLastSave="0" documentId="8_{546D89DC-C4DC-4E62-88F3-8ED778EE36B1}" xr6:coauthVersionLast="47" xr6:coauthVersionMax="47" xr10:uidLastSave="{00000000-0000-0000-0000-000000000000}"/>
  <bookViews>
    <workbookView xWindow="-93" yWindow="-93" windowWidth="25786" windowHeight="13866" xr2:uid="{5DABB1EB-675D-4F5A-A063-37A13AFDF1D6}"/>
  </bookViews>
  <sheets>
    <sheet name="费用预算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E48" i="1"/>
  <c r="E47" i="1"/>
  <c r="Q46" i="1"/>
  <c r="P46" i="1"/>
  <c r="O46" i="1"/>
  <c r="N46" i="1"/>
  <c r="M46" i="1"/>
  <c r="L46" i="1"/>
  <c r="K46" i="1"/>
  <c r="J46" i="1"/>
  <c r="I46" i="1"/>
  <c r="H46" i="1"/>
  <c r="G46" i="1"/>
  <c r="F46" i="1"/>
  <c r="Q45" i="1"/>
  <c r="Q40" i="1" s="1"/>
  <c r="Q5" i="1" s="1"/>
  <c r="P45" i="1"/>
  <c r="P40" i="1" s="1"/>
  <c r="P5" i="1" s="1"/>
  <c r="O45" i="1"/>
  <c r="O40" i="1" s="1"/>
  <c r="O5" i="1" s="1"/>
  <c r="N45" i="1"/>
  <c r="N40" i="1" s="1"/>
  <c r="N5" i="1" s="1"/>
  <c r="M45" i="1"/>
  <c r="M40" i="1" s="1"/>
  <c r="L45" i="1"/>
  <c r="L40" i="1" s="1"/>
  <c r="L5" i="1" s="1"/>
  <c r="K45" i="1"/>
  <c r="K40" i="1" s="1"/>
  <c r="K5" i="1" s="1"/>
  <c r="J45" i="1"/>
  <c r="J40" i="1" s="1"/>
  <c r="J5" i="1" s="1"/>
  <c r="I45" i="1"/>
  <c r="I40" i="1" s="1"/>
  <c r="I5" i="1" s="1"/>
  <c r="H45" i="1"/>
  <c r="H40" i="1" s="1"/>
  <c r="H5" i="1" s="1"/>
  <c r="G45" i="1"/>
  <c r="G40" i="1" s="1"/>
  <c r="G5" i="1" s="1"/>
  <c r="F45" i="1"/>
  <c r="F40" i="1" s="1"/>
  <c r="E45" i="1"/>
  <c r="Q44" i="1"/>
  <c r="P44" i="1"/>
  <c r="O44" i="1"/>
  <c r="N44" i="1"/>
  <c r="M44" i="1"/>
  <c r="L44" i="1"/>
  <c r="K44" i="1"/>
  <c r="E44" i="1" s="1"/>
  <c r="J44" i="1"/>
  <c r="I44" i="1"/>
  <c r="H44" i="1"/>
  <c r="G44" i="1"/>
  <c r="F44" i="1"/>
  <c r="Q43" i="1"/>
  <c r="P43" i="1"/>
  <c r="O43" i="1"/>
  <c r="N43" i="1"/>
  <c r="M43" i="1"/>
  <c r="L43" i="1"/>
  <c r="K43" i="1"/>
  <c r="J43" i="1"/>
  <c r="I43" i="1"/>
  <c r="H43" i="1"/>
  <c r="G43" i="1"/>
  <c r="E43" i="1" s="1"/>
  <c r="F43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Q41" i="1"/>
  <c r="P41" i="1"/>
  <c r="O41" i="1"/>
  <c r="N41" i="1"/>
  <c r="M41" i="1"/>
  <c r="L41" i="1"/>
  <c r="K41" i="1"/>
  <c r="I41" i="1"/>
  <c r="H41" i="1"/>
  <c r="G41" i="1"/>
  <c r="F41" i="1"/>
  <c r="E39" i="1"/>
  <c r="E38" i="1"/>
  <c r="E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 s="1"/>
  <c r="Q35" i="1"/>
  <c r="P35" i="1"/>
  <c r="O35" i="1"/>
  <c r="N35" i="1"/>
  <c r="M35" i="1"/>
  <c r="L35" i="1"/>
  <c r="K35" i="1"/>
  <c r="J35" i="1"/>
  <c r="I35" i="1"/>
  <c r="H35" i="1"/>
  <c r="G35" i="1"/>
  <c r="F35" i="1"/>
  <c r="E35" i="1" s="1"/>
  <c r="E34" i="1"/>
  <c r="E33" i="1"/>
  <c r="E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 s="1"/>
  <c r="Q30" i="1"/>
  <c r="P30" i="1"/>
  <c r="O30" i="1"/>
  <c r="N30" i="1"/>
  <c r="M30" i="1"/>
  <c r="L30" i="1"/>
  <c r="K30" i="1"/>
  <c r="J30" i="1"/>
  <c r="I30" i="1"/>
  <c r="H30" i="1"/>
  <c r="G30" i="1"/>
  <c r="F30" i="1"/>
  <c r="E30" i="1" s="1"/>
  <c r="E29" i="1"/>
  <c r="E28" i="1"/>
  <c r="E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 s="1"/>
  <c r="Q25" i="1"/>
  <c r="P25" i="1"/>
  <c r="O25" i="1"/>
  <c r="N25" i="1"/>
  <c r="M25" i="1"/>
  <c r="L25" i="1"/>
  <c r="K25" i="1"/>
  <c r="J25" i="1"/>
  <c r="I25" i="1"/>
  <c r="H25" i="1"/>
  <c r="G25" i="1"/>
  <c r="F25" i="1"/>
  <c r="E25" i="1" s="1"/>
  <c r="E24" i="1"/>
  <c r="E23" i="1"/>
  <c r="E22" i="1"/>
  <c r="Q21" i="1"/>
  <c r="P21" i="1"/>
  <c r="O21" i="1"/>
  <c r="N21" i="1"/>
  <c r="M21" i="1"/>
  <c r="M20" i="1" s="1"/>
  <c r="L21" i="1"/>
  <c r="K21" i="1"/>
  <c r="J21" i="1"/>
  <c r="I21" i="1"/>
  <c r="H21" i="1"/>
  <c r="G21" i="1"/>
  <c r="F21" i="1"/>
  <c r="E21" i="1" s="1"/>
  <c r="Q20" i="1"/>
  <c r="P20" i="1"/>
  <c r="O20" i="1"/>
  <c r="N20" i="1"/>
  <c r="L20" i="1"/>
  <c r="K20" i="1"/>
  <c r="J20" i="1"/>
  <c r="I20" i="1"/>
  <c r="H20" i="1"/>
  <c r="G20" i="1"/>
  <c r="F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 s="1"/>
  <c r="Q16" i="1"/>
  <c r="P16" i="1"/>
  <c r="O16" i="1"/>
  <c r="N16" i="1"/>
  <c r="M16" i="1"/>
  <c r="L16" i="1"/>
  <c r="K16" i="1"/>
  <c r="J16" i="1"/>
  <c r="I16" i="1"/>
  <c r="H16" i="1"/>
  <c r="G16" i="1"/>
  <c r="F16" i="1"/>
  <c r="E16" i="1" s="1"/>
  <c r="Q15" i="1"/>
  <c r="P15" i="1"/>
  <c r="O15" i="1"/>
  <c r="N15" i="1"/>
  <c r="L15" i="1"/>
  <c r="K15" i="1"/>
  <c r="J15" i="1"/>
  <c r="I15" i="1"/>
  <c r="H15" i="1"/>
  <c r="G15" i="1"/>
  <c r="F15" i="1"/>
  <c r="E14" i="1"/>
  <c r="E13" i="1"/>
  <c r="E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 s="1"/>
  <c r="Q10" i="1"/>
  <c r="P10" i="1"/>
  <c r="O10" i="1"/>
  <c r="N10" i="1"/>
  <c r="M10" i="1"/>
  <c r="L10" i="1"/>
  <c r="K10" i="1"/>
  <c r="J10" i="1"/>
  <c r="I10" i="1"/>
  <c r="H10" i="1"/>
  <c r="G10" i="1"/>
  <c r="F10" i="1"/>
  <c r="E10" i="1" s="1"/>
  <c r="Q9" i="1"/>
  <c r="P9" i="1"/>
  <c r="O9" i="1"/>
  <c r="N9" i="1"/>
  <c r="M9" i="1"/>
  <c r="L9" i="1"/>
  <c r="K9" i="1"/>
  <c r="J9" i="1"/>
  <c r="I9" i="1"/>
  <c r="H9" i="1"/>
  <c r="G9" i="1"/>
  <c r="F9" i="1"/>
  <c r="E9" i="1"/>
  <c r="Q8" i="1"/>
  <c r="P8" i="1"/>
  <c r="O8" i="1"/>
  <c r="E8" i="1" s="1"/>
  <c r="N8" i="1"/>
  <c r="M8" i="1"/>
  <c r="L8" i="1"/>
  <c r="K8" i="1"/>
  <c r="J8" i="1"/>
  <c r="I8" i="1"/>
  <c r="H8" i="1"/>
  <c r="G8" i="1"/>
  <c r="F8" i="1"/>
  <c r="Q7" i="1"/>
  <c r="P7" i="1"/>
  <c r="O7" i="1"/>
  <c r="N7" i="1"/>
  <c r="M7" i="1"/>
  <c r="L7" i="1"/>
  <c r="K7" i="1"/>
  <c r="J7" i="1"/>
  <c r="I7" i="1"/>
  <c r="H7" i="1"/>
  <c r="G7" i="1"/>
  <c r="F7" i="1"/>
  <c r="E7" i="1"/>
  <c r="Q6" i="1"/>
  <c r="P6" i="1"/>
  <c r="O6" i="1"/>
  <c r="N6" i="1"/>
  <c r="M6" i="1"/>
  <c r="L6" i="1"/>
  <c r="K6" i="1"/>
  <c r="I6" i="1"/>
  <c r="H6" i="1"/>
  <c r="G6" i="1"/>
  <c r="F6" i="1"/>
  <c r="E46" i="1" l="1"/>
  <c r="J41" i="1"/>
  <c r="F5" i="1"/>
  <c r="E40" i="1"/>
  <c r="M15" i="1"/>
  <c r="E20" i="1"/>
  <c r="J6" i="1" l="1"/>
  <c r="E6" i="1" s="1"/>
  <c r="E41" i="1"/>
  <c r="E15" i="1"/>
  <c r="M5" i="1"/>
  <c r="E5" i="1" s="1"/>
</calcChain>
</file>

<file path=xl/sharedStrings.xml><?xml version="1.0" encoding="utf-8"?>
<sst xmlns="http://schemas.openxmlformats.org/spreadsheetml/2006/main" count="116" uniqueCount="36">
  <si>
    <t xml:space="preserve">组织 </t>
    <phoneticPr fontId="3" type="noConversion"/>
  </si>
  <si>
    <t>科目</t>
    <phoneticPr fontId="3" type="noConversion"/>
  </si>
  <si>
    <t>功能属性</t>
    <phoneticPr fontId="3" type="noConversion"/>
  </si>
  <si>
    <t>2025年</t>
    <phoneticPr fontId="3" type="noConversion"/>
  </si>
  <si>
    <t>全年合计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</si>
  <si>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</si>
  <si>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</si>
  <si>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</si>
  <si>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</si>
  <si>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</si>
  <si>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</si>
  <si>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</si>
  <si>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</si>
  <si>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</si>
  <si>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</si>
  <si>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</si>
  <si>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</si>
  <si>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华润微电子集团</t>
    <phoneticPr fontId="2" type="noConversion"/>
  </si>
  <si>
    <t>费用汇总</t>
    <phoneticPr fontId="3" type="noConversion"/>
  </si>
  <si>
    <t>-</t>
    <phoneticPr fontId="2" type="noConversion"/>
  </si>
  <si>
    <t>日常费用合计</t>
    <phoneticPr fontId="3" type="noConversion"/>
  </si>
  <si>
    <t>费用-办公费</t>
    <phoneticPr fontId="2" type="noConversion"/>
  </si>
  <si>
    <t>管理</t>
    <phoneticPr fontId="3" type="noConversion"/>
  </si>
  <si>
    <t>费用-电费</t>
    <phoneticPr fontId="2" type="noConversion"/>
  </si>
  <si>
    <t>费用-水费</t>
    <phoneticPr fontId="2" type="noConversion"/>
  </si>
  <si>
    <t>华润微电子本部</t>
    <phoneticPr fontId="2" type="noConversion"/>
  </si>
  <si>
    <t>华晶公司</t>
    <phoneticPr fontId="2" type="noConversion"/>
  </si>
  <si>
    <t>华晶公司-销售部</t>
    <phoneticPr fontId="2" type="noConversion"/>
  </si>
  <si>
    <t>管理费用合计</t>
    <phoneticPr fontId="3" type="noConversion"/>
  </si>
  <si>
    <t>销售</t>
    <phoneticPr fontId="3" type="noConversion"/>
  </si>
  <si>
    <t>华晶公司-财务部</t>
    <phoneticPr fontId="2" type="noConversion"/>
  </si>
  <si>
    <t>华晶公司-行政部</t>
    <phoneticPr fontId="2" type="noConversion"/>
  </si>
  <si>
    <t>华晶公司-研发部</t>
    <phoneticPr fontId="2" type="noConversion"/>
  </si>
  <si>
    <t>研发</t>
    <phoneticPr fontId="3" type="noConversion"/>
  </si>
  <si>
    <t>上华公司</t>
    <phoneticPr fontId="2" type="noConversion"/>
  </si>
  <si>
    <t>上华公司-销售部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</si>
</sst>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 "/>
  </numFmts>
  <fonts count="7" x14ac:knownFonts="1">
    <font>
      <sz val="11"/>
      <color theme="1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3" fontId="1" fillId="2" borderId="2" xfId="0" applyNumberFormat="1" applyFont="1" applyFill="1" applyBorder="1" applyAlignment="1">
      <alignment horizontal="center" vertical="center" wrapText="1"/>
    </xf>
    <xf numFmtId="43" fontId="1" fillId="2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4" xfId="0" applyFont="1" applyFill="1" applyBorder="1" applyAlignment="1">
      <alignment horizontal="center" vertical="center" wrapText="1"/>
    </xf>
    <xf numFmtId="43" fontId="1" fillId="2" borderId="5" xfId="0" applyNumberFormat="1" applyFont="1" applyFill="1" applyBorder="1" applyAlignment="1">
      <alignment horizontal="center" vertical="center" wrapText="1"/>
    </xf>
    <xf numFmtId="43" fontId="1" fillId="2" borderId="6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right" vertical="center"/>
    </xf>
    <xf numFmtId="176" fontId="5" fillId="3" borderId="6" xfId="1" applyNumberFormat="1" applyFont="1" applyFill="1" applyBorder="1" applyAlignment="1" applyProtection="1">
      <alignment horizontal="right" vertical="center" wrapText="1"/>
      <protection locked="0"/>
    </xf>
    <xf numFmtId="0" fontId="4" fillId="2" borderId="4" xfId="0" applyFont="1" applyFill="1" applyBorder="1" applyAlignment="1">
      <alignment vertical="top"/>
    </xf>
    <xf numFmtId="0" fontId="5" fillId="2" borderId="6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top"/>
    </xf>
    <xf numFmtId="0" fontId="4" fillId="2" borderId="5" xfId="0" applyFont="1" applyFill="1" applyBorder="1" applyAlignment="1">
      <alignment horizontal="left" vertical="top" indent="2"/>
    </xf>
    <xf numFmtId="0" fontId="4" fillId="3" borderId="6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top" indent="2"/>
    </xf>
    <xf numFmtId="0" fontId="5" fillId="0" borderId="6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left" vertical="top" indent="2"/>
    </xf>
    <xf numFmtId="0" fontId="4" fillId="2" borderId="5" xfId="0" applyFont="1" applyFill="1" applyBorder="1" applyAlignment="1">
      <alignment horizontal="left" vertical="top" indent="4"/>
    </xf>
  </cellXfs>
  <cellStyles count="2">
    <cellStyle name="常规" xfId="0" builtinId="0"/>
    <cellStyle name="常规_2011年酒店职工薪酬预算莱芜佳悦" xfId="1" xr:uid="{09430F67-C45E-4F0A-89C7-C37DE03582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4E87-8BEB-4230-9D67-8D43A461BA38}">
  <dimension ref="B3:Q49"/>
  <sheetViews>
    <sheetView showGridLines="0" tabSelected="1" workbookViewId="0">
      <selection activeCell="G16" sqref="G16"/>
    </sheetView>
  </sheetViews>
  <sheetFormatPr defaultRowHeight="18" customHeight="1" x14ac:dyDescent="0.5"/>
  <cols>
    <col min="1" max="1" width="4.3515625" style="4" customWidth="1"/>
    <col min="2" max="2" width="23.9375" style="4" customWidth="1"/>
    <col min="3" max="3" width="21.64453125" style="4" bestFit="1" customWidth="1"/>
    <col min="4" max="4" width="17.234375" style="4" customWidth="1"/>
    <col min="5" max="5" width="12.703125" style="4" customWidth="1"/>
    <col min="6" max="6" width="10.1171875" style="4" customWidth="1"/>
    <col min="7" max="17" width="10.234375" style="4" customWidth="1"/>
    <col min="18" max="16384" width="8.9375" style="4"/>
  </cols>
  <sheetData>
    <row r="3" spans="2:17" ht="18" customHeight="1" x14ac:dyDescent="0.5">
      <c r="B3" s="1" t="s">
        <v>0</v>
      </c>
      <c r="C3" s="1" t="s">
        <v>1</v>
      </c>
      <c r="D3" s="1" t="s">
        <v>2</v>
      </c>
      <c r="E3" s="2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8" customHeight="1" x14ac:dyDescent="0.5">
      <c r="B4" s="5"/>
      <c r="C4" s="5"/>
      <c r="D4" s="5"/>
      <c r="E4" s="6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</row>
    <row r="5" spans="2:17" ht="18" customHeight="1" x14ac:dyDescent="0.5">
      <c r="B5" s="8" t="s">
        <v>17</v>
      </c>
      <c r="C5" s="9" t="s">
        <v>18</v>
      </c>
      <c r="D5" s="9" t="s">
        <v>19</v>
      </c>
      <c r="E5" s="10">
        <f t="shared" ref="E5:E11" si="0">SUM(F5:Q5)</f>
        <v>43200</v>
      </c>
      <c r="F5" s="11">
        <f>F10+F15+F40</f>
        <v>3600</v>
      </c>
      <c r="G5" s="11">
        <f t="shared" ref="G5:Q5" si="1">G10+G15+G40</f>
        <v>3600</v>
      </c>
      <c r="H5" s="11">
        <f t="shared" si="1"/>
        <v>3600</v>
      </c>
      <c r="I5" s="11">
        <f t="shared" si="1"/>
        <v>3600</v>
      </c>
      <c r="J5" s="11">
        <f t="shared" si="1"/>
        <v>3600</v>
      </c>
      <c r="K5" s="11">
        <f t="shared" si="1"/>
        <v>3600</v>
      </c>
      <c r="L5" s="11">
        <f t="shared" si="1"/>
        <v>3600</v>
      </c>
      <c r="M5" s="11">
        <f t="shared" si="1"/>
        <v>3600</v>
      </c>
      <c r="N5" s="11">
        <f t="shared" si="1"/>
        <v>3600</v>
      </c>
      <c r="O5" s="11">
        <f t="shared" si="1"/>
        <v>3600</v>
      </c>
      <c r="P5" s="11">
        <f t="shared" si="1"/>
        <v>3600</v>
      </c>
      <c r="Q5" s="11">
        <f t="shared" si="1"/>
        <v>3600</v>
      </c>
    </row>
    <row r="6" spans="2:17" ht="18" customHeight="1" x14ac:dyDescent="0.5">
      <c r="B6" s="12"/>
      <c r="C6" s="13" t="s">
        <v>20</v>
      </c>
      <c r="D6" s="9" t="s">
        <v>19</v>
      </c>
      <c r="E6" s="10">
        <f t="shared" si="0"/>
        <v>43200</v>
      </c>
      <c r="F6" s="11">
        <f t="shared" ref="F6:Q9" si="2">F11+F16+F41</f>
        <v>3600</v>
      </c>
      <c r="G6" s="11">
        <f t="shared" si="2"/>
        <v>3600</v>
      </c>
      <c r="H6" s="11">
        <f t="shared" si="2"/>
        <v>3600</v>
      </c>
      <c r="I6" s="11">
        <f t="shared" si="2"/>
        <v>3600</v>
      </c>
      <c r="J6" s="11">
        <f t="shared" si="2"/>
        <v>3600</v>
      </c>
      <c r="K6" s="11">
        <f t="shared" si="2"/>
        <v>3600</v>
      </c>
      <c r="L6" s="11">
        <f t="shared" si="2"/>
        <v>3600</v>
      </c>
      <c r="M6" s="11">
        <f t="shared" si="2"/>
        <v>3600</v>
      </c>
      <c r="N6" s="11">
        <f t="shared" si="2"/>
        <v>3600</v>
      </c>
      <c r="O6" s="11">
        <f t="shared" si="2"/>
        <v>3600</v>
      </c>
      <c r="P6" s="11">
        <f t="shared" si="2"/>
        <v>3600</v>
      </c>
      <c r="Q6" s="11">
        <f t="shared" si="2"/>
        <v>3600</v>
      </c>
    </row>
    <row r="7" spans="2:17" ht="18" customHeight="1" x14ac:dyDescent="0.5">
      <c r="B7" s="12"/>
      <c r="C7" s="14" t="s">
        <v>21</v>
      </c>
      <c r="D7" s="15" t="s">
        <v>22</v>
      </c>
      <c r="E7" s="10">
        <f t="shared" si="0"/>
        <v>7200</v>
      </c>
      <c r="F7" s="11">
        <f t="shared" si="2"/>
        <v>600</v>
      </c>
      <c r="G7" s="11">
        <f t="shared" si="2"/>
        <v>600</v>
      </c>
      <c r="H7" s="11">
        <f t="shared" si="2"/>
        <v>600</v>
      </c>
      <c r="I7" s="11">
        <f t="shared" si="2"/>
        <v>600</v>
      </c>
      <c r="J7" s="11">
        <f t="shared" si="2"/>
        <v>600</v>
      </c>
      <c r="K7" s="11">
        <f t="shared" si="2"/>
        <v>600</v>
      </c>
      <c r="L7" s="11">
        <f t="shared" si="2"/>
        <v>600</v>
      </c>
      <c r="M7" s="11">
        <f t="shared" si="2"/>
        <v>600</v>
      </c>
      <c r="N7" s="11">
        <f t="shared" si="2"/>
        <v>600</v>
      </c>
      <c r="O7" s="11">
        <f t="shared" si="2"/>
        <v>600</v>
      </c>
      <c r="P7" s="11">
        <f t="shared" si="2"/>
        <v>600</v>
      </c>
      <c r="Q7" s="11">
        <f t="shared" si="2"/>
        <v>600</v>
      </c>
    </row>
    <row r="8" spans="2:17" ht="18" customHeight="1" x14ac:dyDescent="0.5">
      <c r="B8" s="12"/>
      <c r="C8" s="14" t="s">
        <v>23</v>
      </c>
      <c r="D8" s="15" t="s">
        <v>22</v>
      </c>
      <c r="E8" s="10">
        <f t="shared" si="0"/>
        <v>14400</v>
      </c>
      <c r="F8" s="11">
        <f t="shared" si="2"/>
        <v>1200</v>
      </c>
      <c r="G8" s="11">
        <f t="shared" si="2"/>
        <v>1200</v>
      </c>
      <c r="H8" s="11">
        <f t="shared" si="2"/>
        <v>1200</v>
      </c>
      <c r="I8" s="11">
        <f t="shared" si="2"/>
        <v>1200</v>
      </c>
      <c r="J8" s="11">
        <f t="shared" si="2"/>
        <v>1200</v>
      </c>
      <c r="K8" s="11">
        <f t="shared" si="2"/>
        <v>1200</v>
      </c>
      <c r="L8" s="11">
        <f t="shared" si="2"/>
        <v>1200</v>
      </c>
      <c r="M8" s="11">
        <f t="shared" si="2"/>
        <v>1200</v>
      </c>
      <c r="N8" s="11">
        <f t="shared" si="2"/>
        <v>1200</v>
      </c>
      <c r="O8" s="11">
        <f t="shared" si="2"/>
        <v>1200</v>
      </c>
      <c r="P8" s="11">
        <f t="shared" si="2"/>
        <v>1200</v>
      </c>
      <c r="Q8" s="11">
        <f t="shared" si="2"/>
        <v>1200</v>
      </c>
    </row>
    <row r="9" spans="2:17" ht="18" customHeight="1" x14ac:dyDescent="0.5">
      <c r="B9" s="16"/>
      <c r="C9" s="14" t="s">
        <v>24</v>
      </c>
      <c r="D9" s="15" t="s">
        <v>22</v>
      </c>
      <c r="E9" s="10">
        <f t="shared" si="0"/>
        <v>21600</v>
      </c>
      <c r="F9" s="11">
        <f t="shared" si="2"/>
        <v>1800</v>
      </c>
      <c r="G9" s="11">
        <f t="shared" si="2"/>
        <v>1800</v>
      </c>
      <c r="H9" s="11">
        <f t="shared" si="2"/>
        <v>1800</v>
      </c>
      <c r="I9" s="11">
        <f t="shared" si="2"/>
        <v>1800</v>
      </c>
      <c r="J9" s="11">
        <f t="shared" si="2"/>
        <v>1800</v>
      </c>
      <c r="K9" s="11">
        <f t="shared" si="2"/>
        <v>1800</v>
      </c>
      <c r="L9" s="11">
        <f t="shared" si="2"/>
        <v>1800</v>
      </c>
      <c r="M9" s="11">
        <f t="shared" si="2"/>
        <v>1800</v>
      </c>
      <c r="N9" s="11">
        <f t="shared" si="2"/>
        <v>1800</v>
      </c>
      <c r="O9" s="11">
        <f t="shared" si="2"/>
        <v>1800</v>
      </c>
      <c r="P9" s="11">
        <f t="shared" si="2"/>
        <v>1800</v>
      </c>
      <c r="Q9" s="11">
        <f t="shared" si="2"/>
        <v>1800</v>
      </c>
    </row>
    <row r="10" spans="2:17" ht="18" customHeight="1" x14ac:dyDescent="0.5">
      <c r="B10" s="17" t="s">
        <v>25</v>
      </c>
      <c r="C10" s="9" t="s">
        <v>18</v>
      </c>
      <c r="D10" s="9" t="s">
        <v>19</v>
      </c>
      <c r="E10" s="10">
        <f t="shared" si="0"/>
        <v>7200</v>
      </c>
      <c r="F10" s="18">
        <f>SUM(F11)</f>
        <v>600</v>
      </c>
      <c r="G10" s="18">
        <f t="shared" ref="G10:Q10" si="3">SUM(G11)</f>
        <v>600</v>
      </c>
      <c r="H10" s="18">
        <f t="shared" si="3"/>
        <v>600</v>
      </c>
      <c r="I10" s="18">
        <f t="shared" si="3"/>
        <v>600</v>
      </c>
      <c r="J10" s="18">
        <f t="shared" si="3"/>
        <v>600</v>
      </c>
      <c r="K10" s="18">
        <f t="shared" si="3"/>
        <v>600</v>
      </c>
      <c r="L10" s="18">
        <f t="shared" si="3"/>
        <v>600</v>
      </c>
      <c r="M10" s="18">
        <f t="shared" si="3"/>
        <v>600</v>
      </c>
      <c r="N10" s="18">
        <f t="shared" si="3"/>
        <v>600</v>
      </c>
      <c r="O10" s="18">
        <f t="shared" si="3"/>
        <v>600</v>
      </c>
      <c r="P10" s="18">
        <f t="shared" si="3"/>
        <v>600</v>
      </c>
      <c r="Q10" s="18">
        <f t="shared" si="3"/>
        <v>600</v>
      </c>
    </row>
    <row r="11" spans="2:17" ht="18" customHeight="1" x14ac:dyDescent="0.5">
      <c r="B11" s="19"/>
      <c r="C11" s="13" t="s">
        <v>20</v>
      </c>
      <c r="D11" s="9" t="s">
        <v>19</v>
      </c>
      <c r="E11" s="10">
        <f t="shared" si="0"/>
        <v>7200</v>
      </c>
      <c r="F11" s="18">
        <f>SUM(F12:F14)</f>
        <v>600</v>
      </c>
      <c r="G11" s="18">
        <f t="shared" ref="G11:Q11" si="4">SUM(G12:G14)</f>
        <v>600</v>
      </c>
      <c r="H11" s="18">
        <f t="shared" si="4"/>
        <v>600</v>
      </c>
      <c r="I11" s="18">
        <f t="shared" si="4"/>
        <v>600</v>
      </c>
      <c r="J11" s="18">
        <f t="shared" si="4"/>
        <v>600</v>
      </c>
      <c r="K11" s="18">
        <f t="shared" si="4"/>
        <v>600</v>
      </c>
      <c r="L11" s="18">
        <f t="shared" si="4"/>
        <v>600</v>
      </c>
      <c r="M11" s="18">
        <f t="shared" si="4"/>
        <v>600</v>
      </c>
      <c r="N11" s="18">
        <f t="shared" si="4"/>
        <v>600</v>
      </c>
      <c r="O11" s="18">
        <f t="shared" si="4"/>
        <v>600</v>
      </c>
      <c r="P11" s="18">
        <f t="shared" si="4"/>
        <v>600</v>
      </c>
      <c r="Q11" s="18">
        <f t="shared" si="4"/>
        <v>600</v>
      </c>
    </row>
    <row r="12" spans="2:17" ht="18" customHeight="1" x14ac:dyDescent="0.5">
      <c r="B12" s="19"/>
      <c r="C12" s="14" t="s">
        <v>21</v>
      </c>
      <c r="D12" s="15" t="s">
        <v>22</v>
      </c>
      <c r="E12" s="10">
        <f>SUM(F12:Q12)</f>
        <v>1200</v>
      </c>
      <c r="F12" s="20">
        <v>100</v>
      </c>
      <c r="G12" s="20">
        <v>100</v>
      </c>
      <c r="H12" s="20">
        <v>100</v>
      </c>
      <c r="I12" s="20">
        <v>100</v>
      </c>
      <c r="J12" s="20">
        <v>100</v>
      </c>
      <c r="K12" s="20">
        <v>100</v>
      </c>
      <c r="L12" s="20">
        <v>100</v>
      </c>
      <c r="M12" s="20">
        <v>100</v>
      </c>
      <c r="N12" s="20">
        <v>100</v>
      </c>
      <c r="O12" s="20">
        <v>100</v>
      </c>
      <c r="P12" s="20">
        <v>100</v>
      </c>
      <c r="Q12" s="20">
        <v>100</v>
      </c>
    </row>
    <row r="13" spans="2:17" ht="18" customHeight="1" x14ac:dyDescent="0.5">
      <c r="B13" s="19"/>
      <c r="C13" s="14" t="s">
        <v>23</v>
      </c>
      <c r="D13" s="15" t="s">
        <v>22</v>
      </c>
      <c r="E13" s="10">
        <f t="shared" ref="E13:E49" si="5">SUM(F13:Q13)</f>
        <v>2400</v>
      </c>
      <c r="F13" s="20">
        <v>200</v>
      </c>
      <c r="G13" s="20">
        <v>200</v>
      </c>
      <c r="H13" s="20">
        <v>200</v>
      </c>
      <c r="I13" s="20">
        <v>200</v>
      </c>
      <c r="J13" s="20">
        <v>200</v>
      </c>
      <c r="K13" s="20">
        <v>200</v>
      </c>
      <c r="L13" s="20">
        <v>200</v>
      </c>
      <c r="M13" s="20">
        <v>200</v>
      </c>
      <c r="N13" s="20">
        <v>200</v>
      </c>
      <c r="O13" s="20">
        <v>200</v>
      </c>
      <c r="P13" s="20">
        <v>200</v>
      </c>
      <c r="Q13" s="20">
        <v>200</v>
      </c>
    </row>
    <row r="14" spans="2:17" ht="18" customHeight="1" x14ac:dyDescent="0.5">
      <c r="B14" s="21"/>
      <c r="C14" s="14" t="s">
        <v>24</v>
      </c>
      <c r="D14" s="15" t="s">
        <v>22</v>
      </c>
      <c r="E14" s="10">
        <f t="shared" si="5"/>
        <v>3600</v>
      </c>
      <c r="F14" s="20">
        <v>300</v>
      </c>
      <c r="G14" s="20">
        <v>300</v>
      </c>
      <c r="H14" s="20">
        <v>300</v>
      </c>
      <c r="I14" s="20">
        <v>300</v>
      </c>
      <c r="J14" s="20">
        <v>300</v>
      </c>
      <c r="K14" s="20">
        <v>300</v>
      </c>
      <c r="L14" s="20">
        <v>300</v>
      </c>
      <c r="M14" s="20">
        <v>300</v>
      </c>
      <c r="N14" s="20">
        <v>300</v>
      </c>
      <c r="O14" s="20">
        <v>300</v>
      </c>
      <c r="P14" s="20">
        <v>300</v>
      </c>
      <c r="Q14" s="20">
        <v>300</v>
      </c>
    </row>
    <row r="15" spans="2:17" ht="18" customHeight="1" x14ac:dyDescent="0.5">
      <c r="B15" s="17" t="s">
        <v>26</v>
      </c>
      <c r="C15" s="9" t="s">
        <v>18</v>
      </c>
      <c r="D15" s="9" t="s">
        <v>19</v>
      </c>
      <c r="E15" s="10">
        <f t="shared" si="5"/>
        <v>28800</v>
      </c>
      <c r="F15" s="18">
        <f>F20+F30+F35+F25</f>
        <v>2400</v>
      </c>
      <c r="G15" s="18">
        <f t="shared" ref="G15:Q15" si="6">G20+G30+G35+G25</f>
        <v>2400</v>
      </c>
      <c r="H15" s="18">
        <f t="shared" si="6"/>
        <v>2400</v>
      </c>
      <c r="I15" s="18">
        <f t="shared" si="6"/>
        <v>2400</v>
      </c>
      <c r="J15" s="18">
        <f t="shared" si="6"/>
        <v>2400</v>
      </c>
      <c r="K15" s="18">
        <f t="shared" si="6"/>
        <v>2400</v>
      </c>
      <c r="L15" s="18">
        <f t="shared" si="6"/>
        <v>2400</v>
      </c>
      <c r="M15" s="18">
        <f t="shared" si="6"/>
        <v>2400</v>
      </c>
      <c r="N15" s="18">
        <f t="shared" si="6"/>
        <v>2400</v>
      </c>
      <c r="O15" s="18">
        <f t="shared" si="6"/>
        <v>2400</v>
      </c>
      <c r="P15" s="18">
        <f t="shared" si="6"/>
        <v>2400</v>
      </c>
      <c r="Q15" s="18">
        <f t="shared" si="6"/>
        <v>2400</v>
      </c>
    </row>
    <row r="16" spans="2:17" ht="18" customHeight="1" x14ac:dyDescent="0.5">
      <c r="B16" s="19"/>
      <c r="C16" s="13" t="s">
        <v>20</v>
      </c>
      <c r="D16" s="9" t="s">
        <v>19</v>
      </c>
      <c r="E16" s="10">
        <f t="shared" si="5"/>
        <v>28800</v>
      </c>
      <c r="F16" s="18">
        <f t="shared" ref="F16:Q19" si="7">F21+F31+F36+F26</f>
        <v>2400</v>
      </c>
      <c r="G16" s="18">
        <f t="shared" si="7"/>
        <v>2400</v>
      </c>
      <c r="H16" s="18">
        <f t="shared" si="7"/>
        <v>2400</v>
      </c>
      <c r="I16" s="18">
        <f t="shared" si="7"/>
        <v>2400</v>
      </c>
      <c r="J16" s="18">
        <f t="shared" si="7"/>
        <v>2400</v>
      </c>
      <c r="K16" s="18">
        <f t="shared" si="7"/>
        <v>2400</v>
      </c>
      <c r="L16" s="18">
        <f t="shared" si="7"/>
        <v>2400</v>
      </c>
      <c r="M16" s="18">
        <f t="shared" si="7"/>
        <v>2400</v>
      </c>
      <c r="N16" s="18">
        <f t="shared" si="7"/>
        <v>2400</v>
      </c>
      <c r="O16" s="18">
        <f t="shared" si="7"/>
        <v>2400</v>
      </c>
      <c r="P16" s="18">
        <f t="shared" si="7"/>
        <v>2400</v>
      </c>
      <c r="Q16" s="18">
        <f t="shared" si="7"/>
        <v>2400</v>
      </c>
    </row>
    <row r="17" spans="2:17" ht="18" customHeight="1" x14ac:dyDescent="0.5">
      <c r="B17" s="19"/>
      <c r="C17" s="14" t="s">
        <v>21</v>
      </c>
      <c r="D17" s="15" t="s">
        <v>22</v>
      </c>
      <c r="E17" s="10">
        <f t="shared" si="5"/>
        <v>4800</v>
      </c>
      <c r="F17" s="18">
        <f t="shared" si="7"/>
        <v>400</v>
      </c>
      <c r="G17" s="18">
        <f t="shared" si="7"/>
        <v>400</v>
      </c>
      <c r="H17" s="18">
        <f t="shared" si="7"/>
        <v>400</v>
      </c>
      <c r="I17" s="18">
        <f t="shared" si="7"/>
        <v>400</v>
      </c>
      <c r="J17" s="18">
        <f t="shared" si="7"/>
        <v>400</v>
      </c>
      <c r="K17" s="18">
        <f t="shared" si="7"/>
        <v>400</v>
      </c>
      <c r="L17" s="18">
        <f t="shared" si="7"/>
        <v>400</v>
      </c>
      <c r="M17" s="18">
        <f t="shared" si="7"/>
        <v>400</v>
      </c>
      <c r="N17" s="18">
        <f t="shared" si="7"/>
        <v>400</v>
      </c>
      <c r="O17" s="18">
        <f t="shared" si="7"/>
        <v>400</v>
      </c>
      <c r="P17" s="18">
        <f t="shared" si="7"/>
        <v>400</v>
      </c>
      <c r="Q17" s="18">
        <f t="shared" si="7"/>
        <v>400</v>
      </c>
    </row>
    <row r="18" spans="2:17" ht="18" customHeight="1" x14ac:dyDescent="0.5">
      <c r="B18" s="19"/>
      <c r="C18" s="14" t="s">
        <v>23</v>
      </c>
      <c r="D18" s="15" t="s">
        <v>22</v>
      </c>
      <c r="E18" s="10">
        <f t="shared" si="5"/>
        <v>9600</v>
      </c>
      <c r="F18" s="18">
        <f t="shared" si="7"/>
        <v>800</v>
      </c>
      <c r="G18" s="18">
        <f t="shared" si="7"/>
        <v>800</v>
      </c>
      <c r="H18" s="18">
        <f t="shared" si="7"/>
        <v>800</v>
      </c>
      <c r="I18" s="18">
        <f t="shared" si="7"/>
        <v>800</v>
      </c>
      <c r="J18" s="18">
        <f t="shared" si="7"/>
        <v>800</v>
      </c>
      <c r="K18" s="18">
        <f t="shared" si="7"/>
        <v>800</v>
      </c>
      <c r="L18" s="18">
        <f t="shared" si="7"/>
        <v>800</v>
      </c>
      <c r="M18" s="18">
        <f t="shared" si="7"/>
        <v>800</v>
      </c>
      <c r="N18" s="18">
        <f t="shared" si="7"/>
        <v>800</v>
      </c>
      <c r="O18" s="18">
        <f t="shared" si="7"/>
        <v>800</v>
      </c>
      <c r="P18" s="18">
        <f t="shared" si="7"/>
        <v>800</v>
      </c>
      <c r="Q18" s="18">
        <f t="shared" si="7"/>
        <v>800</v>
      </c>
    </row>
    <row r="19" spans="2:17" ht="18" customHeight="1" x14ac:dyDescent="0.5">
      <c r="B19" s="21"/>
      <c r="C19" s="14" t="s">
        <v>24</v>
      </c>
      <c r="D19" s="15" t="s">
        <v>22</v>
      </c>
      <c r="E19" s="10">
        <f t="shared" si="5"/>
        <v>14400</v>
      </c>
      <c r="F19" s="18">
        <f t="shared" si="7"/>
        <v>1200</v>
      </c>
      <c r="G19" s="18">
        <f t="shared" si="7"/>
        <v>1200</v>
      </c>
      <c r="H19" s="18">
        <f t="shared" si="7"/>
        <v>1200</v>
      </c>
      <c r="I19" s="18">
        <f t="shared" si="7"/>
        <v>1200</v>
      </c>
      <c r="J19" s="18">
        <f t="shared" si="7"/>
        <v>1200</v>
      </c>
      <c r="K19" s="18">
        <f t="shared" si="7"/>
        <v>1200</v>
      </c>
      <c r="L19" s="18">
        <f t="shared" si="7"/>
        <v>1200</v>
      </c>
      <c r="M19" s="18">
        <f t="shared" si="7"/>
        <v>1200</v>
      </c>
      <c r="N19" s="18">
        <f t="shared" si="7"/>
        <v>1200</v>
      </c>
      <c r="O19" s="18">
        <f t="shared" si="7"/>
        <v>1200</v>
      </c>
      <c r="P19" s="18">
        <f t="shared" si="7"/>
        <v>1200</v>
      </c>
      <c r="Q19" s="18">
        <f t="shared" si="7"/>
        <v>1200</v>
      </c>
    </row>
    <row r="20" spans="2:17" ht="18" customHeight="1" x14ac:dyDescent="0.5">
      <c r="B20" s="22" t="s">
        <v>27</v>
      </c>
      <c r="C20" s="9" t="s">
        <v>18</v>
      </c>
      <c r="D20" s="9" t="s">
        <v>19</v>
      </c>
      <c r="E20" s="10">
        <f t="shared" si="5"/>
        <v>7200</v>
      </c>
      <c r="F20" s="18">
        <f>SUM(F21)</f>
        <v>600</v>
      </c>
      <c r="G20" s="18">
        <f t="shared" ref="G20:Q20" si="8">SUM(G21)</f>
        <v>600</v>
      </c>
      <c r="H20" s="18">
        <f t="shared" si="8"/>
        <v>600</v>
      </c>
      <c r="I20" s="18">
        <f t="shared" si="8"/>
        <v>600</v>
      </c>
      <c r="J20" s="18">
        <f t="shared" si="8"/>
        <v>600</v>
      </c>
      <c r="K20" s="18">
        <f t="shared" si="8"/>
        <v>600</v>
      </c>
      <c r="L20" s="18">
        <f t="shared" si="8"/>
        <v>600</v>
      </c>
      <c r="M20" s="18">
        <f t="shared" si="8"/>
        <v>600</v>
      </c>
      <c r="N20" s="18">
        <f t="shared" si="8"/>
        <v>600</v>
      </c>
      <c r="O20" s="18">
        <f t="shared" si="8"/>
        <v>600</v>
      </c>
      <c r="P20" s="18">
        <f t="shared" si="8"/>
        <v>600</v>
      </c>
      <c r="Q20" s="18">
        <f t="shared" si="8"/>
        <v>600</v>
      </c>
    </row>
    <row r="21" spans="2:17" ht="18" customHeight="1" x14ac:dyDescent="0.5">
      <c r="B21" s="19"/>
      <c r="C21" s="13" t="s">
        <v>28</v>
      </c>
      <c r="D21" s="9" t="s">
        <v>19</v>
      </c>
      <c r="E21" s="10">
        <f t="shared" si="5"/>
        <v>7200</v>
      </c>
      <c r="F21" s="18">
        <f>SUM(F22:F24)</f>
        <v>600</v>
      </c>
      <c r="G21" s="18">
        <f t="shared" ref="G21:Q21" si="9">SUM(G22:G24)</f>
        <v>600</v>
      </c>
      <c r="H21" s="18">
        <f t="shared" si="9"/>
        <v>600</v>
      </c>
      <c r="I21" s="18">
        <f t="shared" si="9"/>
        <v>600</v>
      </c>
      <c r="J21" s="18">
        <f t="shared" si="9"/>
        <v>600</v>
      </c>
      <c r="K21" s="18">
        <f t="shared" si="9"/>
        <v>600</v>
      </c>
      <c r="L21" s="18">
        <f t="shared" si="9"/>
        <v>600</v>
      </c>
      <c r="M21" s="18">
        <f t="shared" si="9"/>
        <v>600</v>
      </c>
      <c r="N21" s="18">
        <f t="shared" si="9"/>
        <v>600</v>
      </c>
      <c r="O21" s="18">
        <f t="shared" si="9"/>
        <v>600</v>
      </c>
      <c r="P21" s="18">
        <f t="shared" si="9"/>
        <v>600</v>
      </c>
      <c r="Q21" s="18">
        <f t="shared" si="9"/>
        <v>600</v>
      </c>
    </row>
    <row r="22" spans="2:17" ht="18" customHeight="1" x14ac:dyDescent="0.5">
      <c r="B22" s="19"/>
      <c r="C22" s="14" t="s">
        <v>21</v>
      </c>
      <c r="D22" s="15" t="s">
        <v>29</v>
      </c>
      <c r="E22" s="10">
        <f t="shared" si="5"/>
        <v>1200</v>
      </c>
      <c r="F22" s="20">
        <v>100</v>
      </c>
      <c r="G22" s="20">
        <v>100</v>
      </c>
      <c r="H22" s="20">
        <v>100</v>
      </c>
      <c r="I22" s="20">
        <v>100</v>
      </c>
      <c r="J22" s="20">
        <v>100</v>
      </c>
      <c r="K22" s="20">
        <v>100</v>
      </c>
      <c r="L22" s="20">
        <v>100</v>
      </c>
      <c r="M22" s="20">
        <v>100</v>
      </c>
      <c r="N22" s="20">
        <v>100</v>
      </c>
      <c r="O22" s="20">
        <v>100</v>
      </c>
      <c r="P22" s="20">
        <v>100</v>
      </c>
      <c r="Q22" s="20">
        <v>100</v>
      </c>
    </row>
    <row r="23" spans="2:17" ht="18" customHeight="1" x14ac:dyDescent="0.5">
      <c r="B23" s="19"/>
      <c r="C23" s="14" t="s">
        <v>23</v>
      </c>
      <c r="D23" s="15" t="s">
        <v>29</v>
      </c>
      <c r="E23" s="10">
        <f t="shared" si="5"/>
        <v>2400</v>
      </c>
      <c r="F23" s="20">
        <v>200</v>
      </c>
      <c r="G23" s="20">
        <v>200</v>
      </c>
      <c r="H23" s="20">
        <v>200</v>
      </c>
      <c r="I23" s="20">
        <v>200</v>
      </c>
      <c r="J23" s="20">
        <v>200</v>
      </c>
      <c r="K23" s="20">
        <v>200</v>
      </c>
      <c r="L23" s="20">
        <v>200</v>
      </c>
      <c r="M23" s="20">
        <v>200</v>
      </c>
      <c r="N23" s="20">
        <v>200</v>
      </c>
      <c r="O23" s="20">
        <v>200</v>
      </c>
      <c r="P23" s="20">
        <v>200</v>
      </c>
      <c r="Q23" s="20">
        <v>200</v>
      </c>
    </row>
    <row r="24" spans="2:17" ht="18" customHeight="1" x14ac:dyDescent="0.5">
      <c r="B24" s="21"/>
      <c r="C24" s="14" t="s">
        <v>24</v>
      </c>
      <c r="D24" s="15" t="s">
        <v>29</v>
      </c>
      <c r="E24" s="10">
        <f t="shared" si="5"/>
        <v>3600</v>
      </c>
      <c r="F24" s="20">
        <v>300</v>
      </c>
      <c r="G24" s="20">
        <v>300</v>
      </c>
      <c r="H24" s="20">
        <v>300</v>
      </c>
      <c r="I24" s="20">
        <v>300</v>
      </c>
      <c r="J24" s="20">
        <v>300</v>
      </c>
      <c r="K24" s="20">
        <v>300</v>
      </c>
      <c r="L24" s="20">
        <v>300</v>
      </c>
      <c r="M24" s="20">
        <v>300</v>
      </c>
      <c r="N24" s="20">
        <v>300</v>
      </c>
      <c r="O24" s="20">
        <v>300</v>
      </c>
      <c r="P24" s="20">
        <v>300</v>
      </c>
      <c r="Q24" s="20">
        <v>300</v>
      </c>
    </row>
    <row r="25" spans="2:17" ht="18" customHeight="1" x14ac:dyDescent="0.5">
      <c r="B25" s="22" t="s">
        <v>30</v>
      </c>
      <c r="C25" s="9" t="s">
        <v>18</v>
      </c>
      <c r="D25" s="9" t="s">
        <v>19</v>
      </c>
      <c r="E25" s="10">
        <f t="shared" si="5"/>
        <v>7200</v>
      </c>
      <c r="F25" s="18">
        <f>SUM(F26)</f>
        <v>600</v>
      </c>
      <c r="G25" s="18">
        <f t="shared" ref="G25:Q25" si="10">SUM(G26)</f>
        <v>600</v>
      </c>
      <c r="H25" s="18">
        <f t="shared" si="10"/>
        <v>600</v>
      </c>
      <c r="I25" s="18">
        <f t="shared" si="10"/>
        <v>600</v>
      </c>
      <c r="J25" s="18">
        <f t="shared" si="10"/>
        <v>600</v>
      </c>
      <c r="K25" s="18">
        <f t="shared" si="10"/>
        <v>600</v>
      </c>
      <c r="L25" s="18">
        <f t="shared" si="10"/>
        <v>600</v>
      </c>
      <c r="M25" s="18">
        <f t="shared" si="10"/>
        <v>600</v>
      </c>
      <c r="N25" s="18">
        <f t="shared" si="10"/>
        <v>600</v>
      </c>
      <c r="O25" s="18">
        <f t="shared" si="10"/>
        <v>600</v>
      </c>
      <c r="P25" s="18">
        <f t="shared" si="10"/>
        <v>600</v>
      </c>
      <c r="Q25" s="18">
        <f t="shared" si="10"/>
        <v>600</v>
      </c>
    </row>
    <row r="26" spans="2:17" ht="18" customHeight="1" x14ac:dyDescent="0.5">
      <c r="B26" s="19"/>
      <c r="C26" s="13" t="s">
        <v>28</v>
      </c>
      <c r="D26" s="9" t="s">
        <v>19</v>
      </c>
      <c r="E26" s="10">
        <f t="shared" si="5"/>
        <v>7200</v>
      </c>
      <c r="F26" s="18">
        <f>SUM(F27:F29)</f>
        <v>600</v>
      </c>
      <c r="G26" s="18">
        <f t="shared" ref="G26:Q26" si="11">SUM(G27:G29)</f>
        <v>600</v>
      </c>
      <c r="H26" s="18">
        <f t="shared" si="11"/>
        <v>600</v>
      </c>
      <c r="I26" s="18">
        <f t="shared" si="11"/>
        <v>600</v>
      </c>
      <c r="J26" s="18">
        <f t="shared" si="11"/>
        <v>600</v>
      </c>
      <c r="K26" s="18">
        <f t="shared" si="11"/>
        <v>600</v>
      </c>
      <c r="L26" s="18">
        <f t="shared" si="11"/>
        <v>600</v>
      </c>
      <c r="M26" s="18">
        <f t="shared" si="11"/>
        <v>600</v>
      </c>
      <c r="N26" s="18">
        <f t="shared" si="11"/>
        <v>600</v>
      </c>
      <c r="O26" s="18">
        <f t="shared" si="11"/>
        <v>600</v>
      </c>
      <c r="P26" s="18">
        <f t="shared" si="11"/>
        <v>600</v>
      </c>
      <c r="Q26" s="18">
        <f t="shared" si="11"/>
        <v>600</v>
      </c>
    </row>
    <row r="27" spans="2:17" ht="18" customHeight="1" x14ac:dyDescent="0.5">
      <c r="B27" s="19"/>
      <c r="C27" s="14" t="s">
        <v>21</v>
      </c>
      <c r="D27" s="15" t="s">
        <v>29</v>
      </c>
      <c r="E27" s="10">
        <f t="shared" si="5"/>
        <v>1200</v>
      </c>
      <c r="F27" s="20">
        <v>100</v>
      </c>
      <c r="G27" s="20">
        <v>100</v>
      </c>
      <c r="H27" s="20">
        <v>100</v>
      </c>
      <c r="I27" s="20">
        <v>100</v>
      </c>
      <c r="J27" s="20">
        <v>100</v>
      </c>
      <c r="K27" s="20">
        <v>100</v>
      </c>
      <c r="L27" s="20">
        <v>100</v>
      </c>
      <c r="M27" s="20">
        <v>100</v>
      </c>
      <c r="N27" s="20">
        <v>100</v>
      </c>
      <c r="O27" s="20">
        <v>100</v>
      </c>
      <c r="P27" s="20">
        <v>100</v>
      </c>
      <c r="Q27" s="20">
        <v>100</v>
      </c>
    </row>
    <row r="28" spans="2:17" ht="18" customHeight="1" x14ac:dyDescent="0.5">
      <c r="B28" s="19"/>
      <c r="C28" s="14" t="s">
        <v>23</v>
      </c>
      <c r="D28" s="15" t="s">
        <v>29</v>
      </c>
      <c r="E28" s="10">
        <f t="shared" si="5"/>
        <v>2400</v>
      </c>
      <c r="F28" s="20">
        <v>200</v>
      </c>
      <c r="G28" s="20">
        <v>200</v>
      </c>
      <c r="H28" s="20">
        <v>200</v>
      </c>
      <c r="I28" s="20">
        <v>200</v>
      </c>
      <c r="J28" s="20">
        <v>200</v>
      </c>
      <c r="K28" s="20">
        <v>200</v>
      </c>
      <c r="L28" s="20">
        <v>200</v>
      </c>
      <c r="M28" s="20">
        <v>200</v>
      </c>
      <c r="N28" s="20">
        <v>200</v>
      </c>
      <c r="O28" s="20">
        <v>200</v>
      </c>
      <c r="P28" s="20">
        <v>200</v>
      </c>
      <c r="Q28" s="20">
        <v>200</v>
      </c>
    </row>
    <row r="29" spans="2:17" ht="18" customHeight="1" x14ac:dyDescent="0.5">
      <c r="B29" s="21"/>
      <c r="C29" s="14" t="s">
        <v>24</v>
      </c>
      <c r="D29" s="15" t="s">
        <v>29</v>
      </c>
      <c r="E29" s="10">
        <f t="shared" si="5"/>
        <v>3600</v>
      </c>
      <c r="F29" s="20">
        <v>300</v>
      </c>
      <c r="G29" s="20">
        <v>300</v>
      </c>
      <c r="H29" s="20">
        <v>300</v>
      </c>
      <c r="I29" s="20">
        <v>300</v>
      </c>
      <c r="J29" s="20">
        <v>300</v>
      </c>
      <c r="K29" s="20">
        <v>300</v>
      </c>
      <c r="L29" s="20">
        <v>300</v>
      </c>
      <c r="M29" s="20">
        <v>300</v>
      </c>
      <c r="N29" s="20">
        <v>300</v>
      </c>
      <c r="O29" s="20">
        <v>300</v>
      </c>
      <c r="P29" s="20">
        <v>300</v>
      </c>
      <c r="Q29" s="20">
        <v>300</v>
      </c>
    </row>
    <row r="30" spans="2:17" ht="18" customHeight="1" x14ac:dyDescent="0.5">
      <c r="B30" s="22" t="s">
        <v>31</v>
      </c>
      <c r="C30" s="9" t="s">
        <v>18</v>
      </c>
      <c r="D30" s="9" t="s">
        <v>19</v>
      </c>
      <c r="E30" s="10">
        <f t="shared" si="5"/>
        <v>7200</v>
      </c>
      <c r="F30" s="18">
        <f>SUM(F31)</f>
        <v>600</v>
      </c>
      <c r="G30" s="18">
        <f t="shared" ref="G30:Q30" si="12">SUM(G31)</f>
        <v>600</v>
      </c>
      <c r="H30" s="18">
        <f t="shared" si="12"/>
        <v>600</v>
      </c>
      <c r="I30" s="18">
        <f t="shared" si="12"/>
        <v>600</v>
      </c>
      <c r="J30" s="18">
        <f t="shared" si="12"/>
        <v>600</v>
      </c>
      <c r="K30" s="18">
        <f t="shared" si="12"/>
        <v>600</v>
      </c>
      <c r="L30" s="18">
        <f t="shared" si="12"/>
        <v>600</v>
      </c>
      <c r="M30" s="18">
        <f t="shared" si="12"/>
        <v>600</v>
      </c>
      <c r="N30" s="18">
        <f t="shared" si="12"/>
        <v>600</v>
      </c>
      <c r="O30" s="18">
        <f t="shared" si="12"/>
        <v>600</v>
      </c>
      <c r="P30" s="18">
        <f t="shared" si="12"/>
        <v>600</v>
      </c>
      <c r="Q30" s="18">
        <f t="shared" si="12"/>
        <v>600</v>
      </c>
    </row>
    <row r="31" spans="2:17" ht="18" customHeight="1" x14ac:dyDescent="0.5">
      <c r="B31" s="19"/>
      <c r="C31" s="13" t="s">
        <v>20</v>
      </c>
      <c r="D31" s="9" t="s">
        <v>19</v>
      </c>
      <c r="E31" s="10">
        <f t="shared" si="5"/>
        <v>7200</v>
      </c>
      <c r="F31" s="18">
        <f>SUM(F32:F34)</f>
        <v>600</v>
      </c>
      <c r="G31" s="18">
        <f t="shared" ref="G31:Q31" si="13">SUM(G32:G34)</f>
        <v>600</v>
      </c>
      <c r="H31" s="18">
        <f t="shared" si="13"/>
        <v>600</v>
      </c>
      <c r="I31" s="18">
        <f t="shared" si="13"/>
        <v>600</v>
      </c>
      <c r="J31" s="18">
        <f t="shared" si="13"/>
        <v>600</v>
      </c>
      <c r="K31" s="18">
        <f t="shared" si="13"/>
        <v>600</v>
      </c>
      <c r="L31" s="18">
        <f t="shared" si="13"/>
        <v>600</v>
      </c>
      <c r="M31" s="18">
        <f t="shared" si="13"/>
        <v>600</v>
      </c>
      <c r="N31" s="18">
        <f t="shared" si="13"/>
        <v>600</v>
      </c>
      <c r="O31" s="18">
        <f t="shared" si="13"/>
        <v>600</v>
      </c>
      <c r="P31" s="18">
        <f t="shared" si="13"/>
        <v>600</v>
      </c>
      <c r="Q31" s="18">
        <f t="shared" si="13"/>
        <v>600</v>
      </c>
    </row>
    <row r="32" spans="2:17" ht="18" customHeight="1" x14ac:dyDescent="0.5">
      <c r="B32" s="19"/>
      <c r="C32" s="14" t="s">
        <v>21</v>
      </c>
      <c r="D32" s="15" t="s">
        <v>22</v>
      </c>
      <c r="E32" s="10">
        <f t="shared" si="5"/>
        <v>1200</v>
      </c>
      <c r="F32" s="20">
        <v>100</v>
      </c>
      <c r="G32" s="20">
        <v>100</v>
      </c>
      <c r="H32" s="20">
        <v>100</v>
      </c>
      <c r="I32" s="20">
        <v>100</v>
      </c>
      <c r="J32" s="20">
        <v>100</v>
      </c>
      <c r="K32" s="20">
        <v>100</v>
      </c>
      <c r="L32" s="20">
        <v>100</v>
      </c>
      <c r="M32" s="20">
        <v>100</v>
      </c>
      <c r="N32" s="20">
        <v>100</v>
      </c>
      <c r="O32" s="20">
        <v>100</v>
      </c>
      <c r="P32" s="20">
        <v>100</v>
      </c>
      <c r="Q32" s="20">
        <v>100</v>
      </c>
    </row>
    <row r="33" spans="2:17" ht="18" customHeight="1" x14ac:dyDescent="0.5">
      <c r="B33" s="19"/>
      <c r="C33" s="14" t="s">
        <v>23</v>
      </c>
      <c r="D33" s="15" t="s">
        <v>22</v>
      </c>
      <c r="E33" s="10">
        <f t="shared" si="5"/>
        <v>2400</v>
      </c>
      <c r="F33" s="20">
        <v>200</v>
      </c>
      <c r="G33" s="20">
        <v>200</v>
      </c>
      <c r="H33" s="20">
        <v>200</v>
      </c>
      <c r="I33" s="20">
        <v>200</v>
      </c>
      <c r="J33" s="20">
        <v>200</v>
      </c>
      <c r="K33" s="20">
        <v>200</v>
      </c>
      <c r="L33" s="20">
        <v>200</v>
      </c>
      <c r="M33" s="20">
        <v>200</v>
      </c>
      <c r="N33" s="20">
        <v>200</v>
      </c>
      <c r="O33" s="20">
        <v>200</v>
      </c>
      <c r="P33" s="20">
        <v>200</v>
      </c>
      <c r="Q33" s="20">
        <v>200</v>
      </c>
    </row>
    <row r="34" spans="2:17" ht="18" customHeight="1" x14ac:dyDescent="0.5">
      <c r="B34" s="21"/>
      <c r="C34" s="14" t="s">
        <v>24</v>
      </c>
      <c r="D34" s="15" t="s">
        <v>22</v>
      </c>
      <c r="E34" s="10">
        <f t="shared" si="5"/>
        <v>3600</v>
      </c>
      <c r="F34" s="20">
        <v>300</v>
      </c>
      <c r="G34" s="20">
        <v>300</v>
      </c>
      <c r="H34" s="20">
        <v>300</v>
      </c>
      <c r="I34" s="20">
        <v>300</v>
      </c>
      <c r="J34" s="20">
        <v>300</v>
      </c>
      <c r="K34" s="20">
        <v>300</v>
      </c>
      <c r="L34" s="20">
        <v>300</v>
      </c>
      <c r="M34" s="20">
        <v>300</v>
      </c>
      <c r="N34" s="20">
        <v>300</v>
      </c>
      <c r="O34" s="20">
        <v>300</v>
      </c>
      <c r="P34" s="20">
        <v>300</v>
      </c>
      <c r="Q34" s="20">
        <v>300</v>
      </c>
    </row>
    <row r="35" spans="2:17" ht="18" customHeight="1" x14ac:dyDescent="0.5">
      <c r="B35" s="22" t="s">
        <v>32</v>
      </c>
      <c r="C35" s="9" t="s">
        <v>18</v>
      </c>
      <c r="D35" s="9" t="s">
        <v>19</v>
      </c>
      <c r="E35" s="10">
        <f t="shared" si="5"/>
        <v>7200</v>
      </c>
      <c r="F35" s="18">
        <f>SUM(F36)</f>
        <v>600</v>
      </c>
      <c r="G35" s="18">
        <f t="shared" ref="G35:Q35" si="14">SUM(G36)</f>
        <v>600</v>
      </c>
      <c r="H35" s="18">
        <f t="shared" si="14"/>
        <v>600</v>
      </c>
      <c r="I35" s="18">
        <f t="shared" si="14"/>
        <v>600</v>
      </c>
      <c r="J35" s="18">
        <f t="shared" si="14"/>
        <v>600</v>
      </c>
      <c r="K35" s="18">
        <f t="shared" si="14"/>
        <v>600</v>
      </c>
      <c r="L35" s="18">
        <f t="shared" si="14"/>
        <v>600</v>
      </c>
      <c r="M35" s="18">
        <f t="shared" si="14"/>
        <v>600</v>
      </c>
      <c r="N35" s="18">
        <f t="shared" si="14"/>
        <v>600</v>
      </c>
      <c r="O35" s="18">
        <f t="shared" si="14"/>
        <v>600</v>
      </c>
      <c r="P35" s="18">
        <f t="shared" si="14"/>
        <v>600</v>
      </c>
      <c r="Q35" s="18">
        <f t="shared" si="14"/>
        <v>600</v>
      </c>
    </row>
    <row r="36" spans="2:17" ht="18" customHeight="1" x14ac:dyDescent="0.5">
      <c r="B36" s="19"/>
      <c r="C36" s="13" t="s">
        <v>20</v>
      </c>
      <c r="D36" s="9" t="s">
        <v>19</v>
      </c>
      <c r="E36" s="10">
        <f t="shared" si="5"/>
        <v>7200</v>
      </c>
      <c r="F36" s="18">
        <f>SUM(F37:F39)</f>
        <v>600</v>
      </c>
      <c r="G36" s="18">
        <f t="shared" ref="G36:Q36" si="15">SUM(G37:G39)</f>
        <v>600</v>
      </c>
      <c r="H36" s="18">
        <f t="shared" si="15"/>
        <v>600</v>
      </c>
      <c r="I36" s="18">
        <f t="shared" si="15"/>
        <v>600</v>
      </c>
      <c r="J36" s="18">
        <f t="shared" si="15"/>
        <v>600</v>
      </c>
      <c r="K36" s="18">
        <f t="shared" si="15"/>
        <v>600</v>
      </c>
      <c r="L36" s="18">
        <f t="shared" si="15"/>
        <v>600</v>
      </c>
      <c r="M36" s="18">
        <f t="shared" si="15"/>
        <v>600</v>
      </c>
      <c r="N36" s="18">
        <f t="shared" si="15"/>
        <v>600</v>
      </c>
      <c r="O36" s="18">
        <f t="shared" si="15"/>
        <v>600</v>
      </c>
      <c r="P36" s="18">
        <f t="shared" si="15"/>
        <v>600</v>
      </c>
      <c r="Q36" s="18">
        <f t="shared" si="15"/>
        <v>600</v>
      </c>
    </row>
    <row r="37" spans="2:17" ht="18" customHeight="1" x14ac:dyDescent="0.5">
      <c r="B37" s="19"/>
      <c r="C37" s="14" t="s">
        <v>21</v>
      </c>
      <c r="D37" s="15" t="s">
        <v>33</v>
      </c>
      <c r="E37" s="10">
        <f t="shared" si="5"/>
        <v>1200</v>
      </c>
      <c r="F37" s="20">
        <v>100</v>
      </c>
      <c r="G37" s="20">
        <v>100</v>
      </c>
      <c r="H37" s="20">
        <v>100</v>
      </c>
      <c r="I37" s="20">
        <v>100</v>
      </c>
      <c r="J37" s="20">
        <v>100</v>
      </c>
      <c r="K37" s="20">
        <v>100</v>
      </c>
      <c r="L37" s="20">
        <v>100</v>
      </c>
      <c r="M37" s="20">
        <v>100</v>
      </c>
      <c r="N37" s="20">
        <v>100</v>
      </c>
      <c r="O37" s="20">
        <v>100</v>
      </c>
      <c r="P37" s="20">
        <v>100</v>
      </c>
      <c r="Q37" s="20">
        <v>100</v>
      </c>
    </row>
    <row r="38" spans="2:17" ht="18" customHeight="1" x14ac:dyDescent="0.5">
      <c r="B38" s="19"/>
      <c r="C38" s="14" t="s">
        <v>23</v>
      </c>
      <c r="D38" s="15" t="s">
        <v>33</v>
      </c>
      <c r="E38" s="10">
        <f t="shared" si="5"/>
        <v>2400</v>
      </c>
      <c r="F38" s="20">
        <v>200</v>
      </c>
      <c r="G38" s="20">
        <v>200</v>
      </c>
      <c r="H38" s="20">
        <v>200</v>
      </c>
      <c r="I38" s="20">
        <v>200</v>
      </c>
      <c r="J38" s="20">
        <v>200</v>
      </c>
      <c r="K38" s="20">
        <v>200</v>
      </c>
      <c r="L38" s="20">
        <v>200</v>
      </c>
      <c r="M38" s="20">
        <v>200</v>
      </c>
      <c r="N38" s="20">
        <v>200</v>
      </c>
      <c r="O38" s="20">
        <v>200</v>
      </c>
      <c r="P38" s="20">
        <v>200</v>
      </c>
      <c r="Q38" s="20">
        <v>200</v>
      </c>
    </row>
    <row r="39" spans="2:17" ht="18" customHeight="1" x14ac:dyDescent="0.5">
      <c r="B39" s="21"/>
      <c r="C39" s="14" t="s">
        <v>24</v>
      </c>
      <c r="D39" s="15" t="s">
        <v>33</v>
      </c>
      <c r="E39" s="10">
        <f t="shared" si="5"/>
        <v>3600</v>
      </c>
      <c r="F39" s="20">
        <v>300</v>
      </c>
      <c r="G39" s="20">
        <v>300</v>
      </c>
      <c r="H39" s="20">
        <v>300</v>
      </c>
      <c r="I39" s="20">
        <v>300</v>
      </c>
      <c r="J39" s="20">
        <v>300</v>
      </c>
      <c r="K39" s="20">
        <v>300</v>
      </c>
      <c r="L39" s="20">
        <v>300</v>
      </c>
      <c r="M39" s="20">
        <v>300</v>
      </c>
      <c r="N39" s="20">
        <v>300</v>
      </c>
      <c r="O39" s="20">
        <v>300</v>
      </c>
      <c r="P39" s="20">
        <v>300</v>
      </c>
      <c r="Q39" s="20">
        <v>300</v>
      </c>
    </row>
    <row r="40" spans="2:17" ht="18" customHeight="1" x14ac:dyDescent="0.5">
      <c r="B40" s="17" t="s">
        <v>34</v>
      </c>
      <c r="C40" s="9" t="s">
        <v>18</v>
      </c>
      <c r="D40" s="9" t="s">
        <v>19</v>
      </c>
      <c r="E40" s="10">
        <f t="shared" si="5"/>
        <v>7200</v>
      </c>
      <c r="F40" s="18">
        <f>F45</f>
        <v>600</v>
      </c>
      <c r="G40" s="18">
        <f t="shared" ref="G40:Q40" si="16">G45</f>
        <v>600</v>
      </c>
      <c r="H40" s="18">
        <f t="shared" si="16"/>
        <v>600</v>
      </c>
      <c r="I40" s="18">
        <f t="shared" si="16"/>
        <v>600</v>
      </c>
      <c r="J40" s="18">
        <f t="shared" si="16"/>
        <v>600</v>
      </c>
      <c r="K40" s="18">
        <f t="shared" si="16"/>
        <v>600</v>
      </c>
      <c r="L40" s="18">
        <f t="shared" si="16"/>
        <v>600</v>
      </c>
      <c r="M40" s="18">
        <f t="shared" si="16"/>
        <v>600</v>
      </c>
      <c r="N40" s="18">
        <f t="shared" si="16"/>
        <v>600</v>
      </c>
      <c r="O40" s="18">
        <f t="shared" si="16"/>
        <v>600</v>
      </c>
      <c r="P40" s="18">
        <f t="shared" si="16"/>
        <v>600</v>
      </c>
      <c r="Q40" s="18">
        <f t="shared" si="16"/>
        <v>600</v>
      </c>
    </row>
    <row r="41" spans="2:17" ht="18" customHeight="1" x14ac:dyDescent="0.5">
      <c r="B41" s="19"/>
      <c r="C41" s="13" t="s">
        <v>20</v>
      </c>
      <c r="D41" s="9" t="s">
        <v>19</v>
      </c>
      <c r="E41" s="10">
        <f t="shared" si="5"/>
        <v>7200</v>
      </c>
      <c r="F41" s="18">
        <f t="shared" ref="F41:Q44" si="17">F46</f>
        <v>600</v>
      </c>
      <c r="G41" s="18">
        <f t="shared" si="17"/>
        <v>600</v>
      </c>
      <c r="H41" s="18">
        <f t="shared" si="17"/>
        <v>600</v>
      </c>
      <c r="I41" s="18">
        <f t="shared" si="17"/>
        <v>600</v>
      </c>
      <c r="J41" s="18">
        <f t="shared" si="17"/>
        <v>600</v>
      </c>
      <c r="K41" s="18">
        <f t="shared" si="17"/>
        <v>600</v>
      </c>
      <c r="L41" s="18">
        <f t="shared" si="17"/>
        <v>600</v>
      </c>
      <c r="M41" s="18">
        <f t="shared" si="17"/>
        <v>600</v>
      </c>
      <c r="N41" s="18">
        <f t="shared" si="17"/>
        <v>600</v>
      </c>
      <c r="O41" s="18">
        <f t="shared" si="17"/>
        <v>600</v>
      </c>
      <c r="P41" s="18">
        <f t="shared" si="17"/>
        <v>600</v>
      </c>
      <c r="Q41" s="18">
        <f t="shared" si="17"/>
        <v>600</v>
      </c>
    </row>
    <row r="42" spans="2:17" ht="18" customHeight="1" x14ac:dyDescent="0.5">
      <c r="B42" s="19"/>
      <c r="C42" s="14" t="s">
        <v>21</v>
      </c>
      <c r="D42" s="15" t="s">
        <v>22</v>
      </c>
      <c r="E42" s="10">
        <f t="shared" si="5"/>
        <v>1200</v>
      </c>
      <c r="F42" s="18">
        <f t="shared" si="17"/>
        <v>100</v>
      </c>
      <c r="G42" s="18">
        <f t="shared" si="17"/>
        <v>100</v>
      </c>
      <c r="H42" s="18">
        <f t="shared" si="17"/>
        <v>100</v>
      </c>
      <c r="I42" s="18">
        <f t="shared" si="17"/>
        <v>100</v>
      </c>
      <c r="J42" s="18">
        <f t="shared" si="17"/>
        <v>100</v>
      </c>
      <c r="K42" s="18">
        <f t="shared" si="17"/>
        <v>100</v>
      </c>
      <c r="L42" s="18">
        <f t="shared" si="17"/>
        <v>100</v>
      </c>
      <c r="M42" s="18">
        <f t="shared" si="17"/>
        <v>100</v>
      </c>
      <c r="N42" s="18">
        <f t="shared" si="17"/>
        <v>100</v>
      </c>
      <c r="O42" s="18">
        <f t="shared" si="17"/>
        <v>100</v>
      </c>
      <c r="P42" s="18">
        <f t="shared" si="17"/>
        <v>100</v>
      </c>
      <c r="Q42" s="18">
        <f t="shared" si="17"/>
        <v>100</v>
      </c>
    </row>
    <row r="43" spans="2:17" ht="18" customHeight="1" x14ac:dyDescent="0.5">
      <c r="B43" s="19"/>
      <c r="C43" s="14" t="s">
        <v>23</v>
      </c>
      <c r="D43" s="15" t="s">
        <v>22</v>
      </c>
      <c r="E43" s="10">
        <f t="shared" si="5"/>
        <v>2400</v>
      </c>
      <c r="F43" s="18">
        <f t="shared" si="17"/>
        <v>200</v>
      </c>
      <c r="G43" s="18">
        <f t="shared" si="17"/>
        <v>200</v>
      </c>
      <c r="H43" s="18">
        <f t="shared" si="17"/>
        <v>200</v>
      </c>
      <c r="I43" s="18">
        <f t="shared" si="17"/>
        <v>200</v>
      </c>
      <c r="J43" s="18">
        <f t="shared" si="17"/>
        <v>200</v>
      </c>
      <c r="K43" s="18">
        <f t="shared" si="17"/>
        <v>200</v>
      </c>
      <c r="L43" s="18">
        <f t="shared" si="17"/>
        <v>200</v>
      </c>
      <c r="M43" s="18">
        <f t="shared" si="17"/>
        <v>200</v>
      </c>
      <c r="N43" s="18">
        <f t="shared" si="17"/>
        <v>200</v>
      </c>
      <c r="O43" s="18">
        <f t="shared" si="17"/>
        <v>200</v>
      </c>
      <c r="P43" s="18">
        <f t="shared" si="17"/>
        <v>200</v>
      </c>
      <c r="Q43" s="18">
        <f t="shared" si="17"/>
        <v>200</v>
      </c>
    </row>
    <row r="44" spans="2:17" ht="18" customHeight="1" x14ac:dyDescent="0.5">
      <c r="B44" s="21"/>
      <c r="C44" s="14" t="s">
        <v>24</v>
      </c>
      <c r="D44" s="15" t="s">
        <v>22</v>
      </c>
      <c r="E44" s="10">
        <f t="shared" si="5"/>
        <v>3600</v>
      </c>
      <c r="F44" s="18">
        <f t="shared" si="17"/>
        <v>300</v>
      </c>
      <c r="G44" s="18">
        <f t="shared" si="17"/>
        <v>300</v>
      </c>
      <c r="H44" s="18">
        <f t="shared" si="17"/>
        <v>300</v>
      </c>
      <c r="I44" s="18">
        <f t="shared" si="17"/>
        <v>300</v>
      </c>
      <c r="J44" s="18">
        <f t="shared" si="17"/>
        <v>300</v>
      </c>
      <c r="K44" s="18">
        <f t="shared" si="17"/>
        <v>300</v>
      </c>
      <c r="L44" s="18">
        <f t="shared" si="17"/>
        <v>300</v>
      </c>
      <c r="M44" s="18">
        <f t="shared" si="17"/>
        <v>300</v>
      </c>
      <c r="N44" s="18">
        <f t="shared" si="17"/>
        <v>300</v>
      </c>
      <c r="O44" s="18">
        <f t="shared" si="17"/>
        <v>300</v>
      </c>
      <c r="P44" s="18">
        <f t="shared" si="17"/>
        <v>300</v>
      </c>
      <c r="Q44" s="18">
        <f t="shared" si="17"/>
        <v>300</v>
      </c>
    </row>
    <row r="45" spans="2:17" ht="18" customHeight="1" x14ac:dyDescent="0.5">
      <c r="B45" s="22" t="s">
        <v>35</v>
      </c>
      <c r="C45" s="9" t="s">
        <v>18</v>
      </c>
      <c r="D45" s="9" t="s">
        <v>19</v>
      </c>
      <c r="E45" s="10">
        <f t="shared" si="5"/>
        <v>7200</v>
      </c>
      <c r="F45" s="18">
        <f>SUM(F46)</f>
        <v>600</v>
      </c>
      <c r="G45" s="18">
        <f t="shared" ref="G45:Q45" si="18">SUM(G46)</f>
        <v>600</v>
      </c>
      <c r="H45" s="18">
        <f t="shared" si="18"/>
        <v>600</v>
      </c>
      <c r="I45" s="18">
        <f t="shared" si="18"/>
        <v>600</v>
      </c>
      <c r="J45" s="18">
        <f t="shared" si="18"/>
        <v>600</v>
      </c>
      <c r="K45" s="18">
        <f t="shared" si="18"/>
        <v>600</v>
      </c>
      <c r="L45" s="18">
        <f t="shared" si="18"/>
        <v>600</v>
      </c>
      <c r="M45" s="18">
        <f t="shared" si="18"/>
        <v>600</v>
      </c>
      <c r="N45" s="18">
        <f t="shared" si="18"/>
        <v>600</v>
      </c>
      <c r="O45" s="18">
        <f t="shared" si="18"/>
        <v>600</v>
      </c>
      <c r="P45" s="18">
        <f t="shared" si="18"/>
        <v>600</v>
      </c>
      <c r="Q45" s="18">
        <f t="shared" si="18"/>
        <v>600</v>
      </c>
    </row>
    <row r="46" spans="2:17" ht="18" customHeight="1" x14ac:dyDescent="0.5">
      <c r="B46" s="19"/>
      <c r="C46" s="13" t="s">
        <v>20</v>
      </c>
      <c r="D46" s="9" t="s">
        <v>19</v>
      </c>
      <c r="E46" s="10">
        <f t="shared" si="5"/>
        <v>7200</v>
      </c>
      <c r="F46" s="18">
        <f>SUM(F47:F49)</f>
        <v>600</v>
      </c>
      <c r="G46" s="18">
        <f t="shared" ref="G46:Q46" si="19">SUM(G47:G49)</f>
        <v>600</v>
      </c>
      <c r="H46" s="18">
        <f t="shared" si="19"/>
        <v>600</v>
      </c>
      <c r="I46" s="18">
        <f t="shared" si="19"/>
        <v>600</v>
      </c>
      <c r="J46" s="18">
        <f t="shared" si="19"/>
        <v>600</v>
      </c>
      <c r="K46" s="18">
        <f t="shared" si="19"/>
        <v>600</v>
      </c>
      <c r="L46" s="18">
        <f t="shared" si="19"/>
        <v>600</v>
      </c>
      <c r="M46" s="18">
        <f t="shared" si="19"/>
        <v>600</v>
      </c>
      <c r="N46" s="18">
        <f t="shared" si="19"/>
        <v>600</v>
      </c>
      <c r="O46" s="18">
        <f t="shared" si="19"/>
        <v>600</v>
      </c>
      <c r="P46" s="18">
        <f t="shared" si="19"/>
        <v>600</v>
      </c>
      <c r="Q46" s="18">
        <f t="shared" si="19"/>
        <v>600</v>
      </c>
    </row>
    <row r="47" spans="2:17" ht="18" customHeight="1" x14ac:dyDescent="0.5">
      <c r="B47" s="19"/>
      <c r="C47" s="14" t="s">
        <v>21</v>
      </c>
      <c r="D47" s="15" t="s">
        <v>29</v>
      </c>
      <c r="E47" s="10">
        <f t="shared" si="5"/>
        <v>1200</v>
      </c>
      <c r="F47" s="20">
        <v>100</v>
      </c>
      <c r="G47" s="20">
        <v>100</v>
      </c>
      <c r="H47" s="20">
        <v>100</v>
      </c>
      <c r="I47" s="20">
        <v>100</v>
      </c>
      <c r="J47" s="20">
        <v>100</v>
      </c>
      <c r="K47" s="20">
        <v>100</v>
      </c>
      <c r="L47" s="20">
        <v>100</v>
      </c>
      <c r="M47" s="20">
        <v>100</v>
      </c>
      <c r="N47" s="20">
        <v>100</v>
      </c>
      <c r="O47" s="20">
        <v>100</v>
      </c>
      <c r="P47" s="20">
        <v>100</v>
      </c>
      <c r="Q47" s="20">
        <v>100</v>
      </c>
    </row>
    <row r="48" spans="2:17" ht="18" customHeight="1" x14ac:dyDescent="0.5">
      <c r="B48" s="19"/>
      <c r="C48" s="14" t="s">
        <v>23</v>
      </c>
      <c r="D48" s="15" t="s">
        <v>29</v>
      </c>
      <c r="E48" s="10">
        <f t="shared" si="5"/>
        <v>2400</v>
      </c>
      <c r="F48" s="20">
        <v>200</v>
      </c>
      <c r="G48" s="20">
        <v>200</v>
      </c>
      <c r="H48" s="20">
        <v>200</v>
      </c>
      <c r="I48" s="20">
        <v>200</v>
      </c>
      <c r="J48" s="20">
        <v>200</v>
      </c>
      <c r="K48" s="20">
        <v>200</v>
      </c>
      <c r="L48" s="20">
        <v>200</v>
      </c>
      <c r="M48" s="20">
        <v>200</v>
      </c>
      <c r="N48" s="20">
        <v>200</v>
      </c>
      <c r="O48" s="20">
        <v>200</v>
      </c>
      <c r="P48" s="20">
        <v>200</v>
      </c>
      <c r="Q48" s="20">
        <v>200</v>
      </c>
    </row>
    <row r="49" spans="2:17" ht="18" customHeight="1" x14ac:dyDescent="0.5">
      <c r="B49" s="21"/>
      <c r="C49" s="14" t="s">
        <v>24</v>
      </c>
      <c r="D49" s="15" t="s">
        <v>29</v>
      </c>
      <c r="E49" s="10">
        <f t="shared" si="5"/>
        <v>3600</v>
      </c>
      <c r="F49" s="20">
        <v>300</v>
      </c>
      <c r="G49" s="20">
        <v>300</v>
      </c>
      <c r="H49" s="20">
        <v>300</v>
      </c>
      <c r="I49" s="20">
        <v>300</v>
      </c>
      <c r="J49" s="20">
        <v>300</v>
      </c>
      <c r="K49" s="20">
        <v>300</v>
      </c>
      <c r="L49" s="20">
        <v>300</v>
      </c>
      <c r="M49" s="20">
        <v>300</v>
      </c>
      <c r="N49" s="20">
        <v>300</v>
      </c>
      <c r="O49" s="20">
        <v>300</v>
      </c>
      <c r="P49" s="20">
        <v>300</v>
      </c>
      <c r="Q49" s="20">
        <v>300</v>
      </c>
    </row>
  </sheetData>
  <mergeCells count="4">
    <mergeCell ref="B3:B4"/>
    <mergeCell ref="C3:C4"/>
    <mergeCell ref="D3:D4"/>
    <mergeCell ref="E3:Q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费用预算表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liuyg</dc:creator>
  <cp:lastModifiedBy>liuyg</cp:lastModifiedBy>
  <dcterms:created xsi:type="dcterms:W3CDTF">2026-08-20T10:46:37Z</dcterms:created>
  <dcterms:modified xsi:type="dcterms:W3CDTF">2026-08-20T10:47:52Z</dcterms:modified>
</cp:coreProperties>
</file>